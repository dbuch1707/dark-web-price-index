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_Prices" sheetId="1" state="visible" r:id="rId3"/>
    <sheet name="KPI_Summary" sheetId="2" state="visible" r:id="rId4"/>
    <sheet name="YoY_Trend" sheetId="3" state="visible" r:id="rId5"/>
    <sheet name="Regional_Cards" sheetId="4" state="visible" r:id="rId6"/>
    <sheet name="Source_Notes" sheetId="5" state="visible" r:id="rId7"/>
  </sheets>
  <definedNames>
    <definedName function="false" hidden="true" localSheetId="0" name="_xlnm._FilterDatabase" vbProcedure="false">All_Prices!$A$1:$J$1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<sst xmlns="http://schemas.openxmlformats.org/spreadsheetml/2006/main" count="444" uniqueCount="182">
  <si>
    <t xml:space="preserve">Year</t>
  </si>
  <si>
    <t xml:space="preserve">Category</t>
  </si>
  <si>
    <t xml:space="preserve">Product</t>
  </si>
  <si>
    <t xml:space="preserve">Country</t>
  </si>
  <si>
    <t xml:space="preserve">Organization</t>
  </si>
  <si>
    <t xml:space="preserve">Price_Low_USD</t>
  </si>
  <si>
    <t xml:space="preserve">Price_High_USD</t>
  </si>
  <si>
    <t xml:space="preserve">Price_Mid_USD</t>
  </si>
  <si>
    <t xml:space="preserve">Price_Note</t>
  </si>
  <si>
    <t xml:space="preserve">Source</t>
  </si>
  <si>
    <t xml:space="preserve">Forged Documents – Physical</t>
  </si>
  <si>
    <t xml:space="preserve">Passport – Physical</t>
  </si>
  <si>
    <t xml:space="preserve">Malta</t>
  </si>
  <si>
    <t xml:space="preserve">Government Body</t>
  </si>
  <si>
    <t xml:space="preserve">Per item</t>
  </si>
  <si>
    <t xml:space="preserve">Privacy Affairs 2020</t>
  </si>
  <si>
    <t xml:space="preserve">Credit Card Data</t>
  </si>
  <si>
    <t xml:space="preserve">Credit Card – Standard</t>
  </si>
  <si>
    <t xml:space="preserve">United States</t>
  </si>
  <si>
    <t xml:space="preserve">Various</t>
  </si>
  <si>
    <t xml:space="preserve">With CVV</t>
  </si>
  <si>
    <t xml:space="preserve">DDoS Attacks</t>
  </si>
  <si>
    <t xml:space="preserve">DDoS Attack – 24hr</t>
  </si>
  <si>
    <t xml:space="preserve">Unprotected site</t>
  </si>
  <si>
    <t xml:space="preserve">Email Database Dumps</t>
  </si>
  <si>
    <t xml:space="preserve">Email DB Dump</t>
  </si>
  <si>
    <t xml:space="preserve">Per million records</t>
  </si>
  <si>
    <t xml:space="preserve">Privacy Affairs 2021</t>
  </si>
  <si>
    <t xml:space="preserve">France</t>
  </si>
  <si>
    <t xml:space="preserve">Crypto Accounts</t>
  </si>
  <si>
    <t xml:space="preserve">Crypto Account – Verified</t>
  </si>
  <si>
    <t xml:space="preserve">KYC verified</t>
  </si>
  <si>
    <t xml:space="preserve">Privacy Affairs 2022</t>
  </si>
  <si>
    <t xml:space="preserve">Privacy Affairs 2023</t>
  </si>
  <si>
    <t xml:space="preserve">Kraken</t>
  </si>
  <si>
    <t xml:space="preserve">KYC verified – Kraken</t>
  </si>
  <si>
    <t xml:space="preserve">Identity – PII</t>
  </si>
  <si>
    <t xml:space="preserve">Social Security Number (SSN)</t>
  </si>
  <si>
    <t xml:space="preserve">Oversupply drives floor price</t>
  </si>
  <si>
    <t xml:space="preserve">DeepStrike Aug 2025 / Trustwave</t>
  </si>
  <si>
    <t xml:space="preserve">Full Identity Package (Fullz)</t>
  </si>
  <si>
    <t xml:space="preserve">Name+SSN+DOB+Address</t>
  </si>
  <si>
    <t xml:space="preserve">DeepStrike Aug 2025</t>
  </si>
  <si>
    <t xml:space="preserve">Driver's License Scan</t>
  </si>
  <si>
    <t xml:space="preserve">Used for account takeover</t>
  </si>
  <si>
    <t xml:space="preserve">Passport Scan</t>
  </si>
  <si>
    <t xml:space="preserve">Digital scan only</t>
  </si>
  <si>
    <t xml:space="preserve">Medical Record – Complete</t>
  </si>
  <si>
    <t xml:space="preserve">Insurance fraud / blackmail</t>
  </si>
  <si>
    <t xml:space="preserve">Credit Card – High Limit ($5K+)</t>
  </si>
  <si>
    <t xml:space="preserve">Verified high limit</t>
  </si>
  <si>
    <t xml:space="preserve">United Kingdom</t>
  </si>
  <si>
    <t xml:space="preserve">Stricter fraud detection</t>
  </si>
  <si>
    <t xml:space="preserve">Germany</t>
  </si>
  <si>
    <t xml:space="preserve">Strong data protection laws</t>
  </si>
  <si>
    <t xml:space="preserve">Australia</t>
  </si>
  <si>
    <t xml:space="preserve">Lower availability</t>
  </si>
  <si>
    <t xml:space="preserve">Financial Accounts</t>
  </si>
  <si>
    <t xml:space="preserve">Online Bank Login – Low Balance</t>
  </si>
  <si>
    <t xml:space="preserve">Scales with balance</t>
  </si>
  <si>
    <t xml:space="preserve">Online Bank Login – High Balance</t>
  </si>
  <si>
    <t xml:space="preserve">Balance &gt;$100K</t>
  </si>
  <si>
    <t xml:space="preserve">PayPal Account – Verified</t>
  </si>
  <si>
    <t xml:space="preserve">PayPal</t>
  </si>
  <si>
    <t xml:space="preserve">Linked bank account</t>
  </si>
  <si>
    <t xml:space="preserve">Privacy Affairs 2023 / est.</t>
  </si>
  <si>
    <t xml:space="preserve">Coinbase Account – Verified</t>
  </si>
  <si>
    <t xml:space="preserve">Coinbase</t>
  </si>
  <si>
    <t xml:space="preserve">KYC cleared</t>
  </si>
  <si>
    <t xml:space="preserve">Kraken Account – KYC High</t>
  </si>
  <si>
    <t xml:space="preserve">Highest crypto listing</t>
  </si>
  <si>
    <t xml:space="preserve">Binance Account – Verified</t>
  </si>
  <si>
    <t xml:space="preserve">Binance</t>
  </si>
  <si>
    <t xml:space="preserve">DeepStrike Aug 2025 / est.</t>
  </si>
  <si>
    <t xml:space="preserve">Hacked Services</t>
  </si>
  <si>
    <t xml:space="preserve">Gmail Account</t>
  </si>
  <si>
    <t xml:space="preserve">Google</t>
  </si>
  <si>
    <t xml:space="preserve">Used for phishing pivots</t>
  </si>
  <si>
    <t xml:space="preserve">Facebook Account</t>
  </si>
  <si>
    <t xml:space="preserve">Meta</t>
  </si>
  <si>
    <t xml:space="preserve">Social engineering base</t>
  </si>
  <si>
    <t xml:space="preserve">Cybercrime Services</t>
  </si>
  <si>
    <t xml:space="preserve">DDoS Attack – 24hr Unprotected</t>
  </si>
  <si>
    <t xml:space="preserve">Crime-as-a-service</t>
  </si>
  <si>
    <t xml:space="preserve">Infostealer Malware Subscription</t>
  </si>
  <si>
    <t xml:space="preserve">Monthly subscription</t>
  </si>
  <si>
    <t xml:space="preserve">Ransomware-as-a-Service</t>
  </si>
  <si>
    <t xml:space="preserve">% of ransom or flat</t>
  </si>
  <si>
    <t xml:space="preserve">Corporate Access</t>
  </si>
  <si>
    <t xml:space="preserve">VPN Login – Basic User</t>
  </si>
  <si>
    <t xml:space="preserve">Initial Access Broker</t>
  </si>
  <si>
    <t xml:space="preserve">Local Admin Access</t>
  </si>
  <si>
    <t xml:space="preserve">Privilege escalation ready</t>
  </si>
  <si>
    <t xml:space="preserve">Domain Admin / Cloud Admin</t>
  </si>
  <si>
    <t xml:space="preserve">Full kingdom access – IAB</t>
  </si>
  <si>
    <t xml:space="preserve">Zero-Day Exploit – Enterprise</t>
  </si>
  <si>
    <t xml:space="preserve">OS or enterprise software</t>
  </si>
  <si>
    <t xml:space="preserve">Passport – Physical Forgery</t>
  </si>
  <si>
    <t xml:space="preserve">Based on 2023 trend</t>
  </si>
  <si>
    <t xml:space="preserve">KPI</t>
  </si>
  <si>
    <t xml:space="preserve">Value</t>
  </si>
  <si>
    <t xml:space="preserve">Label</t>
  </si>
  <si>
    <t xml:space="preserve">Color_Hint</t>
  </si>
  <si>
    <t xml:space="preserve">Cheapest Item</t>
  </si>
  <si>
    <t xml:space="preserve">$1</t>
  </si>
  <si>
    <t xml:space="preserve">US Social Security Number</t>
  </si>
  <si>
    <t xml:space="preserve">RED</t>
  </si>
  <si>
    <t xml:space="preserve">Most Expensive Item</t>
  </si>
  <si>
    <t xml:space="preserve">$200K+</t>
  </si>
  <si>
    <t xml:space="preserve">Zero-Day Exploit (Enterprise)</t>
  </si>
  <si>
    <t xml:space="preserve">DARK</t>
  </si>
  <si>
    <t xml:space="preserve">Full Identity (Fullz)</t>
  </si>
  <si>
    <t xml:space="preserve">$20–$100</t>
  </si>
  <si>
    <t xml:space="preserve">Name + SSN + DOB + Address</t>
  </si>
  <si>
    <t xml:space="preserve">AMBER</t>
  </si>
  <si>
    <t xml:space="preserve">Bank Login (high balance)</t>
  </si>
  <si>
    <t xml:space="preserve">$1,000–$3,000</t>
  </si>
  <si>
    <t xml:space="preserve">Scales with account balance</t>
  </si>
  <si>
    <t xml:space="preserve">Crypto (Kraken KYC)</t>
  </si>
  <si>
    <t xml:space="preserve">up to $1,170</t>
  </si>
  <si>
    <t xml:space="preserve">Highest crypto account price</t>
  </si>
  <si>
    <t xml:space="preserve">Corporate Admin Access</t>
  </si>
  <si>
    <t xml:space="preserve">$10K–$100K+</t>
  </si>
  <si>
    <t xml:space="preserve">Domain/Cloud Admin – IABs</t>
  </si>
  <si>
    <t xml:space="preserve">Year with most data</t>
  </si>
  <si>
    <t xml:space="preserve">2025</t>
  </si>
  <si>
    <t xml:space="preserve">August 2025 snapshot</t>
  </si>
  <si>
    <t xml:space="preserve">Categories tracked</t>
  </si>
  <si>
    <t xml:space="preserve">9</t>
  </si>
  <si>
    <t xml:space="preserve">Across identity, financial, cyber</t>
  </si>
  <si>
    <t xml:space="preserve">Notes</t>
  </si>
  <si>
    <t xml:space="preserve">Passport physical, Malta</t>
  </si>
  <si>
    <t xml:space="preserve">Estimated from trend</t>
  </si>
  <si>
    <t xml:space="preserve">Standard US card with CVV</t>
  </si>
  <si>
    <t xml:space="preserve">Standard US card – oversupply</t>
  </si>
  <si>
    <t xml:space="preserve">Verified account</t>
  </si>
  <si>
    <t xml:space="preserve">Kraken KYC high</t>
  </si>
  <si>
    <t xml:space="preserve">Kraken KYC verified</t>
  </si>
  <si>
    <t xml:space="preserve">24hr unprotected site</t>
  </si>
  <si>
    <t xml:space="preserve">Crime-as-a-service rate drop</t>
  </si>
  <si>
    <t xml:space="preserve">SSN – floor price</t>
  </si>
  <si>
    <t xml:space="preserve">Domain admin midpoint</t>
  </si>
  <si>
    <t xml:space="preserve">Infostealer subscription</t>
  </si>
  <si>
    <t xml:space="preserve">Card_Type</t>
  </si>
  <si>
    <t xml:space="preserve">Price_Low</t>
  </si>
  <si>
    <t xml:space="preserve">Price_High</t>
  </si>
  <si>
    <t xml:space="preserve">Price_Mid</t>
  </si>
  <si>
    <t xml:space="preserve">Credit Card Standard</t>
  </si>
  <si>
    <t xml:space="preserve">Large supply, lower price</t>
  </si>
  <si>
    <t xml:space="preserve">Strong GDPR laws</t>
  </si>
  <si>
    <t xml:space="preserve">Credit Card High Limit</t>
  </si>
  <si>
    <t xml:space="preserve">Verified $5K+ balance</t>
  </si>
  <si>
    <t xml:space="preserve">Bank Login – Low</t>
  </si>
  <si>
    <t xml:space="preserve">Low balance account</t>
  </si>
  <si>
    <t xml:space="preserve">Bank Login – High</t>
  </si>
  <si>
    <t xml:space="preserve">High balance account</t>
  </si>
  <si>
    <t xml:space="preserve">Crypto – Coinbase</t>
  </si>
  <si>
    <t xml:space="preserve">Crypto – Kraken</t>
  </si>
  <si>
    <t xml:space="preserve">KYC high tier</t>
  </si>
  <si>
    <t xml:space="preserve">URL</t>
  </si>
  <si>
    <t xml:space="preserve">Date_Accessed</t>
  </si>
  <si>
    <t xml:space="preserve">Privacy Affairs Dark Web Price Index</t>
  </si>
  <si>
    <t xml:space="preserve">https://privacyaffairs.com/dark-web-price-index/</t>
  </si>
  <si>
    <t xml:space="preserve">2020–2023</t>
  </si>
  <si>
    <t xml:space="preserve">Primary historical source</t>
  </si>
  <si>
    <t xml:space="preserve">DeepStrike Dark Web Pricing 2025</t>
  </si>
  <si>
    <t xml:space="preserve">https://deepstrike.io/blog/dark-web-data-pricing-2025</t>
  </si>
  <si>
    <t xml:space="preserve">Aug 2025</t>
  </si>
  <si>
    <t xml:space="preserve">2025 price snapshot</t>
  </si>
  <si>
    <t xml:space="preserve">Trustwave SpiderLabs</t>
  </si>
  <si>
    <t xml:space="preserve">https://www.trustwave.com/</t>
  </si>
  <si>
    <t xml:space="preserve">Cited in DeepStrike methodology</t>
  </si>
  <si>
    <t xml:space="preserve">SOCRadar</t>
  </si>
  <si>
    <t xml:space="preserve">https://socradar.io/</t>
  </si>
  <si>
    <t xml:space="preserve">Verizon DBIR 2025</t>
  </si>
  <si>
    <t xml:space="preserve">https://www.verizon.com/business/resources/reports/dbir/</t>
  </si>
  <si>
    <t xml:space="preserve">May 2025</t>
  </si>
  <si>
    <t xml:space="preserve">22% of breaches involve stolen creds</t>
  </si>
  <si>
    <t xml:space="preserve">IBM X-Force 2025</t>
  </si>
  <si>
    <t xml:space="preserve">https://www.ibm.com/reports/threat-intelligence</t>
  </si>
  <si>
    <t xml:space="preserve">Apr 2025</t>
  </si>
  <si>
    <t xml:space="preserve">84% weekly increase in infostealers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</si>
</sst>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FCE4EC"/>
        <bgColor rgb="FFFFEBEE"/>
      </patternFill>
    </fill>
    <fill>
      <patternFill patternType="solid">
        <fgColor rgb="FFE8F5E9"/>
        <bgColor rgb="FFE0F7FA"/>
      </patternFill>
    </fill>
    <fill>
      <patternFill patternType="solid">
        <fgColor rgb="FFFFF9C4"/>
        <bgColor rgb="FFFFF8E1"/>
      </patternFill>
    </fill>
    <fill>
      <patternFill patternType="solid">
        <fgColor rgb="FFF5F5F5"/>
        <bgColor rgb="FFE8F5E9"/>
      </patternFill>
    </fill>
    <fill>
      <patternFill patternType="solid">
        <fgColor rgb="FFE0F7FA"/>
        <bgColor rgb="FFE3F2FD"/>
      </patternFill>
    </fill>
    <fill>
      <patternFill patternType="solid">
        <fgColor rgb="FFF3E8FF"/>
        <bgColor rgb="FFFCE4EC"/>
      </patternFill>
    </fill>
    <fill>
      <patternFill patternType="solid">
        <fgColor rgb="FFE3F2FD"/>
        <bgColor rgb="FFE0F7FA"/>
      </patternFill>
    </fill>
    <fill>
      <patternFill patternType="solid">
        <fgColor rgb="FFFFF8E1"/>
        <bgColor rgb="FFFFF3E0"/>
      </patternFill>
    </fill>
    <fill>
      <patternFill patternType="solid">
        <fgColor rgb="FFFFF3E0"/>
        <bgColor rgb="FFFFF8E1"/>
      </patternFill>
    </fill>
    <fill>
      <patternFill patternType="solid">
        <fgColor rgb="FFFFEBEE"/>
        <bgColor rgb="FFFCE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A0A0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3E8FF"/>
      <rgbColor rgb="FF808080"/>
      <rgbColor rgb="FF9999FF"/>
      <rgbColor rgb="FF993366"/>
      <rgbColor rgb="FFFFF9C4"/>
      <rgbColor rgb="FFE0F7FA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8E1"/>
      <rgbColor rgb="FFF5F5F5"/>
      <rgbColor rgb="FFFFEBEE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8" min="6" style="0" width="14"/>
    <col collapsed="false" customWidth="true" hidden="false" outlineLevel="0" max="9" min="9" style="0" width="32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2020</v>
      </c>
      <c r="B2" s="2" t="s">
        <v>10</v>
      </c>
      <c r="C2" s="2" t="s">
        <v>11</v>
      </c>
      <c r="D2" s="2" t="s">
        <v>12</v>
      </c>
      <c r="E2" s="2" t="s">
        <v>13</v>
      </c>
      <c r="F2" s="3" t="n">
        <v>2985</v>
      </c>
      <c r="G2" s="3" t="n">
        <v>2985</v>
      </c>
      <c r="H2" s="3" t="n">
        <f aca="false">(F2+G2)/2</f>
        <v>2985</v>
      </c>
      <c r="I2" s="2" t="s">
        <v>14</v>
      </c>
      <c r="J2" s="2" t="s">
        <v>15</v>
      </c>
    </row>
    <row r="3" customFormat="false" ht="15" hidden="false" customHeight="false" outlineLevel="0" collapsed="false">
      <c r="A3" s="4" t="n">
        <v>2020</v>
      </c>
      <c r="B3" s="4" t="s">
        <v>16</v>
      </c>
      <c r="C3" s="4" t="s">
        <v>17</v>
      </c>
      <c r="D3" s="4" t="s">
        <v>18</v>
      </c>
      <c r="E3" s="4" t="s">
        <v>19</v>
      </c>
      <c r="F3" s="5" t="n">
        <v>100</v>
      </c>
      <c r="G3" s="5" t="n">
        <v>500</v>
      </c>
      <c r="H3" s="5" t="n">
        <f aca="false">(F3+G3)/2</f>
        <v>300</v>
      </c>
      <c r="I3" s="4" t="s">
        <v>20</v>
      </c>
      <c r="J3" s="4" t="s">
        <v>15</v>
      </c>
    </row>
    <row r="4" customFormat="false" ht="15" hidden="false" customHeight="false" outlineLevel="0" collapsed="false">
      <c r="A4" s="6" t="n">
        <v>2020</v>
      </c>
      <c r="B4" s="6" t="s">
        <v>21</v>
      </c>
      <c r="C4" s="6" t="s">
        <v>22</v>
      </c>
      <c r="D4" s="6" t="s">
        <v>18</v>
      </c>
      <c r="E4" s="6" t="s">
        <v>19</v>
      </c>
      <c r="F4" s="7" t="n">
        <v>1200</v>
      </c>
      <c r="G4" s="7" t="n">
        <v>1800</v>
      </c>
      <c r="H4" s="7" t="n">
        <f aca="false">(F4+G4)/2</f>
        <v>1500</v>
      </c>
      <c r="I4" s="6" t="s">
        <v>23</v>
      </c>
      <c r="J4" s="6" t="s">
        <v>15</v>
      </c>
    </row>
    <row r="5" customFormat="false" ht="15" hidden="false" customHeight="false" outlineLevel="0" collapsed="false">
      <c r="A5" s="8" t="n">
        <v>2020</v>
      </c>
      <c r="B5" s="8" t="s">
        <v>24</v>
      </c>
      <c r="C5" s="8" t="s">
        <v>25</v>
      </c>
      <c r="D5" s="8" t="s">
        <v>18</v>
      </c>
      <c r="E5" s="8" t="s">
        <v>19</v>
      </c>
      <c r="F5" s="9" t="n">
        <v>250</v>
      </c>
      <c r="G5" s="9" t="n">
        <v>450</v>
      </c>
      <c r="H5" s="9" t="n">
        <f aca="false">(F5+G5)/2</f>
        <v>350</v>
      </c>
      <c r="I5" s="8" t="s">
        <v>26</v>
      </c>
      <c r="J5" s="8" t="s">
        <v>15</v>
      </c>
    </row>
    <row r="6" customFormat="false" ht="15" hidden="false" customHeight="false" outlineLevel="0" collapsed="false">
      <c r="A6" s="2" t="n">
        <v>2021</v>
      </c>
      <c r="B6" s="2" t="s">
        <v>10</v>
      </c>
      <c r="C6" s="2" t="s">
        <v>11</v>
      </c>
      <c r="D6" s="2" t="s">
        <v>12</v>
      </c>
      <c r="E6" s="2" t="s">
        <v>13</v>
      </c>
      <c r="F6" s="3" t="n">
        <v>26030</v>
      </c>
      <c r="G6" s="3" t="n">
        <v>26030</v>
      </c>
      <c r="H6" s="3" t="n">
        <f aca="false">(F6+G6)/2</f>
        <v>26030</v>
      </c>
      <c r="I6" s="2" t="s">
        <v>14</v>
      </c>
      <c r="J6" s="2" t="s">
        <v>27</v>
      </c>
    </row>
    <row r="7" customFormat="false" ht="15" hidden="false" customHeight="false" outlineLevel="0" collapsed="false">
      <c r="A7" s="2" t="n">
        <v>2021</v>
      </c>
      <c r="B7" s="2" t="s">
        <v>10</v>
      </c>
      <c r="C7" s="2" t="s">
        <v>11</v>
      </c>
      <c r="D7" s="2" t="s">
        <v>28</v>
      </c>
      <c r="E7" s="2" t="s">
        <v>13</v>
      </c>
      <c r="F7" s="3" t="n">
        <v>19000</v>
      </c>
      <c r="G7" s="3" t="n">
        <v>19000</v>
      </c>
      <c r="H7" s="3" t="n">
        <f aca="false">(F7+G7)/2</f>
        <v>19000</v>
      </c>
      <c r="I7" s="2" t="s">
        <v>14</v>
      </c>
      <c r="J7" s="2" t="s">
        <v>27</v>
      </c>
    </row>
    <row r="8" customFormat="false" ht="15" hidden="false" customHeight="false" outlineLevel="0" collapsed="false">
      <c r="A8" s="4" t="n">
        <v>2021</v>
      </c>
      <c r="B8" s="4" t="s">
        <v>16</v>
      </c>
      <c r="C8" s="4" t="s">
        <v>17</v>
      </c>
      <c r="D8" s="4" t="s">
        <v>18</v>
      </c>
      <c r="E8" s="4" t="s">
        <v>19</v>
      </c>
      <c r="F8" s="5" t="n">
        <v>800</v>
      </c>
      <c r="G8" s="5" t="n">
        <v>1100</v>
      </c>
      <c r="H8" s="5" t="n">
        <f aca="false">(F8+G8)/2</f>
        <v>950</v>
      </c>
      <c r="I8" s="4" t="s">
        <v>20</v>
      </c>
      <c r="J8" s="4" t="s">
        <v>27</v>
      </c>
    </row>
    <row r="9" customFormat="false" ht="15" hidden="false" customHeight="false" outlineLevel="0" collapsed="false">
      <c r="A9" s="10" t="n">
        <v>2021</v>
      </c>
      <c r="B9" s="10" t="s">
        <v>29</v>
      </c>
      <c r="C9" s="10" t="s">
        <v>30</v>
      </c>
      <c r="D9" s="10" t="s">
        <v>18</v>
      </c>
      <c r="E9" s="10" t="s">
        <v>19</v>
      </c>
      <c r="F9" s="11" t="n">
        <v>3500</v>
      </c>
      <c r="G9" s="11" t="n">
        <v>4200</v>
      </c>
      <c r="H9" s="11" t="n">
        <f aca="false">(F9+G9)/2</f>
        <v>3850</v>
      </c>
      <c r="I9" s="10" t="s">
        <v>31</v>
      </c>
      <c r="J9" s="10" t="s">
        <v>27</v>
      </c>
    </row>
    <row r="10" customFormat="false" ht="15" hidden="false" customHeight="false" outlineLevel="0" collapsed="false">
      <c r="A10" s="6" t="n">
        <v>2021</v>
      </c>
      <c r="B10" s="6" t="s">
        <v>21</v>
      </c>
      <c r="C10" s="6" t="s">
        <v>22</v>
      </c>
      <c r="D10" s="6" t="s">
        <v>18</v>
      </c>
      <c r="E10" s="6" t="s">
        <v>19</v>
      </c>
      <c r="F10" s="7" t="n">
        <v>1800</v>
      </c>
      <c r="G10" s="7" t="n">
        <v>2400</v>
      </c>
      <c r="H10" s="7" t="n">
        <f aca="false">(F10+G10)/2</f>
        <v>2100</v>
      </c>
      <c r="I10" s="6" t="s">
        <v>23</v>
      </c>
      <c r="J10" s="6" t="s">
        <v>27</v>
      </c>
    </row>
    <row r="11" customFormat="false" ht="15" hidden="false" customHeight="false" outlineLevel="0" collapsed="false">
      <c r="A11" s="8" t="n">
        <v>2021</v>
      </c>
      <c r="B11" s="8" t="s">
        <v>24</v>
      </c>
      <c r="C11" s="8" t="s">
        <v>25</v>
      </c>
      <c r="D11" s="8" t="s">
        <v>18</v>
      </c>
      <c r="E11" s="8" t="s">
        <v>19</v>
      </c>
      <c r="F11" s="9" t="n">
        <v>300</v>
      </c>
      <c r="G11" s="9" t="n">
        <v>400</v>
      </c>
      <c r="H11" s="9" t="n">
        <f aca="false">(F11+G11)/2</f>
        <v>350</v>
      </c>
      <c r="I11" s="8" t="s">
        <v>26</v>
      </c>
      <c r="J11" s="8" t="s">
        <v>27</v>
      </c>
    </row>
    <row r="12" customFormat="false" ht="15" hidden="false" customHeight="false" outlineLevel="0" collapsed="false">
      <c r="A12" s="2" t="n">
        <v>2022</v>
      </c>
      <c r="B12" s="2" t="s">
        <v>10</v>
      </c>
      <c r="C12" s="2" t="s">
        <v>11</v>
      </c>
      <c r="D12" s="2" t="s">
        <v>12</v>
      </c>
      <c r="E12" s="2" t="s">
        <v>13</v>
      </c>
      <c r="F12" s="3" t="n">
        <v>28010</v>
      </c>
      <c r="G12" s="3" t="n">
        <v>28010</v>
      </c>
      <c r="H12" s="3" t="n">
        <f aca="false">(F12+G12)/2</f>
        <v>28010</v>
      </c>
      <c r="I12" s="2" t="s">
        <v>14</v>
      </c>
      <c r="J12" s="2" t="s">
        <v>32</v>
      </c>
    </row>
    <row r="13" customFormat="false" ht="15" hidden="false" customHeight="false" outlineLevel="0" collapsed="false">
      <c r="A13" s="4" t="n">
        <v>2022</v>
      </c>
      <c r="B13" s="4" t="s">
        <v>16</v>
      </c>
      <c r="C13" s="4" t="s">
        <v>17</v>
      </c>
      <c r="D13" s="4" t="s">
        <v>18</v>
      </c>
      <c r="E13" s="4" t="s">
        <v>19</v>
      </c>
      <c r="F13" s="5" t="n">
        <v>400</v>
      </c>
      <c r="G13" s="5" t="n">
        <v>700</v>
      </c>
      <c r="H13" s="5" t="n">
        <f aca="false">(F13+G13)/2</f>
        <v>550</v>
      </c>
      <c r="I13" s="4" t="s">
        <v>20</v>
      </c>
      <c r="J13" s="4" t="s">
        <v>32</v>
      </c>
    </row>
    <row r="14" customFormat="false" ht="15" hidden="false" customHeight="false" outlineLevel="0" collapsed="false">
      <c r="A14" s="10" t="n">
        <v>2022</v>
      </c>
      <c r="B14" s="10" t="s">
        <v>29</v>
      </c>
      <c r="C14" s="10" t="s">
        <v>30</v>
      </c>
      <c r="D14" s="10" t="s">
        <v>18</v>
      </c>
      <c r="E14" s="10" t="s">
        <v>19</v>
      </c>
      <c r="F14" s="11" t="n">
        <v>1800</v>
      </c>
      <c r="G14" s="11" t="n">
        <v>2600</v>
      </c>
      <c r="H14" s="11" t="n">
        <f aca="false">(F14+G14)/2</f>
        <v>2200</v>
      </c>
      <c r="I14" s="10" t="s">
        <v>31</v>
      </c>
      <c r="J14" s="10" t="s">
        <v>32</v>
      </c>
    </row>
    <row r="15" customFormat="false" ht="15" hidden="false" customHeight="false" outlineLevel="0" collapsed="false">
      <c r="A15" s="6" t="n">
        <v>2022</v>
      </c>
      <c r="B15" s="6" t="s">
        <v>21</v>
      </c>
      <c r="C15" s="6" t="s">
        <v>22</v>
      </c>
      <c r="D15" s="6" t="s">
        <v>18</v>
      </c>
      <c r="E15" s="6" t="s">
        <v>19</v>
      </c>
      <c r="F15" s="7" t="n">
        <v>1600</v>
      </c>
      <c r="G15" s="7" t="n">
        <v>2100</v>
      </c>
      <c r="H15" s="7" t="n">
        <f aca="false">(F15+G15)/2</f>
        <v>1850</v>
      </c>
      <c r="I15" s="6" t="s">
        <v>23</v>
      </c>
      <c r="J15" s="6" t="s">
        <v>32</v>
      </c>
    </row>
    <row r="16" customFormat="false" ht="15" hidden="false" customHeight="false" outlineLevel="0" collapsed="false">
      <c r="A16" s="8" t="n">
        <v>2022</v>
      </c>
      <c r="B16" s="8" t="s">
        <v>24</v>
      </c>
      <c r="C16" s="8" t="s">
        <v>25</v>
      </c>
      <c r="D16" s="8" t="s">
        <v>18</v>
      </c>
      <c r="E16" s="8" t="s">
        <v>19</v>
      </c>
      <c r="F16" s="9" t="n">
        <v>280</v>
      </c>
      <c r="G16" s="9" t="n">
        <v>380</v>
      </c>
      <c r="H16" s="9" t="n">
        <f aca="false">(F16+G16)/2</f>
        <v>330</v>
      </c>
      <c r="I16" s="8" t="s">
        <v>26</v>
      </c>
      <c r="J16" s="8" t="s">
        <v>32</v>
      </c>
    </row>
    <row r="17" customFormat="false" ht="15" hidden="false" customHeight="false" outlineLevel="0" collapsed="false">
      <c r="A17" s="2" t="n">
        <v>2023</v>
      </c>
      <c r="B17" s="2" t="s">
        <v>10</v>
      </c>
      <c r="C17" s="2" t="s">
        <v>11</v>
      </c>
      <c r="D17" s="2" t="s">
        <v>12</v>
      </c>
      <c r="E17" s="2" t="s">
        <v>13</v>
      </c>
      <c r="F17" s="3" t="n">
        <v>29150</v>
      </c>
      <c r="G17" s="3" t="n">
        <v>29150</v>
      </c>
      <c r="H17" s="3" t="n">
        <f aca="false">(F17+G17)/2</f>
        <v>29150</v>
      </c>
      <c r="I17" s="2" t="s">
        <v>14</v>
      </c>
      <c r="J17" s="2" t="s">
        <v>33</v>
      </c>
    </row>
    <row r="18" customFormat="false" ht="15" hidden="false" customHeight="false" outlineLevel="0" collapsed="false">
      <c r="A18" s="4" t="n">
        <v>2023</v>
      </c>
      <c r="B18" s="4" t="s">
        <v>16</v>
      </c>
      <c r="C18" s="4" t="s">
        <v>17</v>
      </c>
      <c r="D18" s="4" t="s">
        <v>18</v>
      </c>
      <c r="E18" s="4" t="s">
        <v>19</v>
      </c>
      <c r="F18" s="5" t="n">
        <v>500</v>
      </c>
      <c r="G18" s="5" t="n">
        <v>750</v>
      </c>
      <c r="H18" s="5" t="n">
        <f aca="false">(F18+G18)/2</f>
        <v>625</v>
      </c>
      <c r="I18" s="4" t="s">
        <v>20</v>
      </c>
      <c r="J18" s="4" t="s">
        <v>33</v>
      </c>
    </row>
    <row r="19" customFormat="false" ht="15" hidden="false" customHeight="false" outlineLevel="0" collapsed="false">
      <c r="A19" s="10" t="n">
        <v>2023</v>
      </c>
      <c r="B19" s="10" t="s">
        <v>29</v>
      </c>
      <c r="C19" s="10" t="s">
        <v>30</v>
      </c>
      <c r="D19" s="10" t="s">
        <v>18</v>
      </c>
      <c r="E19" s="10" t="s">
        <v>34</v>
      </c>
      <c r="F19" s="11" t="n">
        <v>12000</v>
      </c>
      <c r="G19" s="11" t="n">
        <v>17000</v>
      </c>
      <c r="H19" s="11" t="n">
        <f aca="false">(F19+G19)/2</f>
        <v>14500</v>
      </c>
      <c r="I19" s="10" t="s">
        <v>35</v>
      </c>
      <c r="J19" s="10" t="s">
        <v>33</v>
      </c>
    </row>
    <row r="20" customFormat="false" ht="15" hidden="false" customHeight="false" outlineLevel="0" collapsed="false">
      <c r="A20" s="6" t="n">
        <v>2023</v>
      </c>
      <c r="B20" s="6" t="s">
        <v>21</v>
      </c>
      <c r="C20" s="6" t="s">
        <v>22</v>
      </c>
      <c r="D20" s="6" t="s">
        <v>18</v>
      </c>
      <c r="E20" s="6" t="s">
        <v>19</v>
      </c>
      <c r="F20" s="7" t="n">
        <v>1200</v>
      </c>
      <c r="G20" s="7" t="n">
        <v>1800</v>
      </c>
      <c r="H20" s="7" t="n">
        <f aca="false">(F20+G20)/2</f>
        <v>1500</v>
      </c>
      <c r="I20" s="6" t="s">
        <v>23</v>
      </c>
      <c r="J20" s="6" t="s">
        <v>33</v>
      </c>
    </row>
    <row r="21" customFormat="false" ht="15" hidden="false" customHeight="false" outlineLevel="0" collapsed="false">
      <c r="A21" s="8" t="n">
        <v>2023</v>
      </c>
      <c r="B21" s="8" t="s">
        <v>24</v>
      </c>
      <c r="C21" s="8" t="s">
        <v>25</v>
      </c>
      <c r="D21" s="8" t="s">
        <v>18</v>
      </c>
      <c r="E21" s="8" t="s">
        <v>19</v>
      </c>
      <c r="F21" s="9" t="n">
        <v>280</v>
      </c>
      <c r="G21" s="9" t="n">
        <v>380</v>
      </c>
      <c r="H21" s="9" t="n">
        <f aca="false">(F21+G21)/2</f>
        <v>330</v>
      </c>
      <c r="I21" s="8" t="s">
        <v>26</v>
      </c>
      <c r="J21" s="8" t="s">
        <v>33</v>
      </c>
    </row>
    <row r="22" customFormat="false" ht="15" hidden="false" customHeight="false" outlineLevel="0" collapsed="false">
      <c r="A22" s="12" t="n">
        <v>2025</v>
      </c>
      <c r="B22" s="12" t="s">
        <v>36</v>
      </c>
      <c r="C22" s="12" t="s">
        <v>37</v>
      </c>
      <c r="D22" s="12" t="s">
        <v>18</v>
      </c>
      <c r="E22" s="12" t="s">
        <v>19</v>
      </c>
      <c r="F22" s="13" t="n">
        <v>1</v>
      </c>
      <c r="G22" s="13" t="n">
        <v>6</v>
      </c>
      <c r="H22" s="13" t="n">
        <f aca="false">(F22+G22)/2</f>
        <v>3.5</v>
      </c>
      <c r="I22" s="12" t="s">
        <v>38</v>
      </c>
      <c r="J22" s="12" t="s">
        <v>39</v>
      </c>
    </row>
    <row r="23" customFormat="false" ht="15" hidden="false" customHeight="false" outlineLevel="0" collapsed="false">
      <c r="A23" s="12" t="n">
        <v>2025</v>
      </c>
      <c r="B23" s="12" t="s">
        <v>36</v>
      </c>
      <c r="C23" s="12" t="s">
        <v>40</v>
      </c>
      <c r="D23" s="12" t="s">
        <v>18</v>
      </c>
      <c r="E23" s="12" t="s">
        <v>19</v>
      </c>
      <c r="F23" s="13" t="n">
        <v>20</v>
      </c>
      <c r="G23" s="13" t="n">
        <v>100</v>
      </c>
      <c r="H23" s="13" t="n">
        <f aca="false">(F23+G23)/2</f>
        <v>60</v>
      </c>
      <c r="I23" s="12" t="s">
        <v>41</v>
      </c>
      <c r="J23" s="12" t="s">
        <v>42</v>
      </c>
    </row>
    <row r="24" customFormat="false" ht="15" hidden="false" customHeight="false" outlineLevel="0" collapsed="false">
      <c r="A24" s="12" t="n">
        <v>2025</v>
      </c>
      <c r="B24" s="12" t="s">
        <v>36</v>
      </c>
      <c r="C24" s="12" t="s">
        <v>43</v>
      </c>
      <c r="D24" s="12" t="s">
        <v>18</v>
      </c>
      <c r="E24" s="12" t="s">
        <v>19</v>
      </c>
      <c r="F24" s="13" t="n">
        <v>70</v>
      </c>
      <c r="G24" s="13" t="n">
        <v>165</v>
      </c>
      <c r="H24" s="13" t="n">
        <f aca="false">(F24+G24)/2</f>
        <v>117.5</v>
      </c>
      <c r="I24" s="12" t="s">
        <v>44</v>
      </c>
      <c r="J24" s="12" t="s">
        <v>42</v>
      </c>
    </row>
    <row r="25" customFormat="false" ht="15" hidden="false" customHeight="false" outlineLevel="0" collapsed="false">
      <c r="A25" s="12" t="n">
        <v>2025</v>
      </c>
      <c r="B25" s="12" t="s">
        <v>36</v>
      </c>
      <c r="C25" s="12" t="s">
        <v>45</v>
      </c>
      <c r="D25" s="12" t="s">
        <v>18</v>
      </c>
      <c r="E25" s="12" t="s">
        <v>19</v>
      </c>
      <c r="F25" s="13" t="n">
        <v>100</v>
      </c>
      <c r="G25" s="13" t="n">
        <v>100</v>
      </c>
      <c r="H25" s="13" t="n">
        <f aca="false">(F25+G25)/2</f>
        <v>100</v>
      </c>
      <c r="I25" s="12" t="s">
        <v>46</v>
      </c>
      <c r="J25" s="12" t="s">
        <v>42</v>
      </c>
    </row>
    <row r="26" customFormat="false" ht="15" hidden="false" customHeight="false" outlineLevel="0" collapsed="false">
      <c r="A26" s="12" t="n">
        <v>2025</v>
      </c>
      <c r="B26" s="12" t="s">
        <v>36</v>
      </c>
      <c r="C26" s="12" t="s">
        <v>47</v>
      </c>
      <c r="D26" s="12" t="s">
        <v>18</v>
      </c>
      <c r="E26" s="12" t="s">
        <v>19</v>
      </c>
      <c r="F26" s="13" t="n">
        <v>300</v>
      </c>
      <c r="G26" s="13" t="n">
        <v>500</v>
      </c>
      <c r="H26" s="13" t="n">
        <f aca="false">(F26+G26)/2</f>
        <v>400</v>
      </c>
      <c r="I26" s="12" t="s">
        <v>48</v>
      </c>
      <c r="J26" s="12" t="s">
        <v>42</v>
      </c>
    </row>
    <row r="27" customFormat="false" ht="15" hidden="false" customHeight="false" outlineLevel="0" collapsed="false">
      <c r="A27" s="4" t="n">
        <v>2025</v>
      </c>
      <c r="B27" s="4" t="s">
        <v>16</v>
      </c>
      <c r="C27" s="4" t="s">
        <v>17</v>
      </c>
      <c r="D27" s="4" t="s">
        <v>18</v>
      </c>
      <c r="E27" s="4" t="s">
        <v>19</v>
      </c>
      <c r="F27" s="5" t="n">
        <v>10</v>
      </c>
      <c r="G27" s="5" t="n">
        <v>40</v>
      </c>
      <c r="H27" s="5" t="n">
        <f aca="false">(F27+G27)/2</f>
        <v>25</v>
      </c>
      <c r="I27" s="4" t="s">
        <v>20</v>
      </c>
      <c r="J27" s="4" t="s">
        <v>42</v>
      </c>
    </row>
    <row r="28" customFormat="false" ht="15" hidden="false" customHeight="false" outlineLevel="0" collapsed="false">
      <c r="A28" s="4" t="n">
        <v>2025</v>
      </c>
      <c r="B28" s="4" t="s">
        <v>16</v>
      </c>
      <c r="C28" s="4" t="s">
        <v>49</v>
      </c>
      <c r="D28" s="4" t="s">
        <v>18</v>
      </c>
      <c r="E28" s="4" t="s">
        <v>19</v>
      </c>
      <c r="F28" s="5" t="n">
        <v>110</v>
      </c>
      <c r="G28" s="5" t="n">
        <v>120</v>
      </c>
      <c r="H28" s="5" t="n">
        <f aca="false">(F28+G28)/2</f>
        <v>115</v>
      </c>
      <c r="I28" s="4" t="s">
        <v>50</v>
      </c>
      <c r="J28" s="4" t="s">
        <v>42</v>
      </c>
    </row>
    <row r="29" customFormat="false" ht="15" hidden="false" customHeight="false" outlineLevel="0" collapsed="false">
      <c r="A29" s="4" t="n">
        <v>2025</v>
      </c>
      <c r="B29" s="4" t="s">
        <v>16</v>
      </c>
      <c r="C29" s="4" t="s">
        <v>17</v>
      </c>
      <c r="D29" s="4" t="s">
        <v>51</v>
      </c>
      <c r="E29" s="4" t="s">
        <v>19</v>
      </c>
      <c r="F29" s="5" t="n">
        <v>10</v>
      </c>
      <c r="G29" s="5" t="n">
        <v>60</v>
      </c>
      <c r="H29" s="5" t="n">
        <f aca="false">(F29+G29)/2</f>
        <v>35</v>
      </c>
      <c r="I29" s="4" t="s">
        <v>52</v>
      </c>
      <c r="J29" s="4" t="s">
        <v>42</v>
      </c>
    </row>
    <row r="30" customFormat="false" ht="15" hidden="false" customHeight="false" outlineLevel="0" collapsed="false">
      <c r="A30" s="4" t="n">
        <v>2025</v>
      </c>
      <c r="B30" s="4" t="s">
        <v>16</v>
      </c>
      <c r="C30" s="4" t="s">
        <v>17</v>
      </c>
      <c r="D30" s="4" t="s">
        <v>53</v>
      </c>
      <c r="E30" s="4" t="s">
        <v>19</v>
      </c>
      <c r="F30" s="5" t="n">
        <v>10</v>
      </c>
      <c r="G30" s="5" t="n">
        <v>50</v>
      </c>
      <c r="H30" s="5" t="n">
        <f aca="false">(F30+G30)/2</f>
        <v>30</v>
      </c>
      <c r="I30" s="4" t="s">
        <v>54</v>
      </c>
      <c r="J30" s="4" t="s">
        <v>42</v>
      </c>
    </row>
    <row r="31" customFormat="false" ht="15" hidden="false" customHeight="false" outlineLevel="0" collapsed="false">
      <c r="A31" s="4" t="n">
        <v>2025</v>
      </c>
      <c r="B31" s="4" t="s">
        <v>16</v>
      </c>
      <c r="C31" s="4" t="s">
        <v>17</v>
      </c>
      <c r="D31" s="4" t="s">
        <v>55</v>
      </c>
      <c r="E31" s="4" t="s">
        <v>19</v>
      </c>
      <c r="F31" s="5" t="n">
        <v>15</v>
      </c>
      <c r="G31" s="5" t="n">
        <v>50</v>
      </c>
      <c r="H31" s="5" t="n">
        <f aca="false">(F31+G31)/2</f>
        <v>32.5</v>
      </c>
      <c r="I31" s="4" t="s">
        <v>56</v>
      </c>
      <c r="J31" s="4" t="s">
        <v>42</v>
      </c>
    </row>
    <row r="32" customFormat="false" ht="15" hidden="false" customHeight="false" outlineLevel="0" collapsed="false">
      <c r="A32" s="14" t="n">
        <v>2025</v>
      </c>
      <c r="B32" s="14" t="s">
        <v>57</v>
      </c>
      <c r="C32" s="14" t="s">
        <v>58</v>
      </c>
      <c r="D32" s="14" t="s">
        <v>18</v>
      </c>
      <c r="E32" s="14" t="s">
        <v>19</v>
      </c>
      <c r="F32" s="15" t="n">
        <v>200</v>
      </c>
      <c r="G32" s="15" t="n">
        <v>500</v>
      </c>
      <c r="H32" s="15" t="n">
        <f aca="false">(F32+G32)/2</f>
        <v>350</v>
      </c>
      <c r="I32" s="14" t="s">
        <v>59</v>
      </c>
      <c r="J32" s="14" t="s">
        <v>42</v>
      </c>
    </row>
    <row r="33" customFormat="false" ht="15" hidden="false" customHeight="false" outlineLevel="0" collapsed="false">
      <c r="A33" s="14" t="n">
        <v>2025</v>
      </c>
      <c r="B33" s="14" t="s">
        <v>57</v>
      </c>
      <c r="C33" s="14" t="s">
        <v>60</v>
      </c>
      <c r="D33" s="14" t="s">
        <v>18</v>
      </c>
      <c r="E33" s="14" t="s">
        <v>19</v>
      </c>
      <c r="F33" s="15" t="n">
        <v>1000</v>
      </c>
      <c r="G33" s="15" t="n">
        <v>3000</v>
      </c>
      <c r="H33" s="15" t="n">
        <f aca="false">(F33+G33)/2</f>
        <v>2000</v>
      </c>
      <c r="I33" s="14" t="s">
        <v>61</v>
      </c>
      <c r="J33" s="14" t="s">
        <v>42</v>
      </c>
    </row>
    <row r="34" customFormat="false" ht="15" hidden="false" customHeight="false" outlineLevel="0" collapsed="false">
      <c r="A34" s="14" t="n">
        <v>2025</v>
      </c>
      <c r="B34" s="14" t="s">
        <v>57</v>
      </c>
      <c r="C34" s="14" t="s">
        <v>62</v>
      </c>
      <c r="D34" s="14" t="s">
        <v>18</v>
      </c>
      <c r="E34" s="14" t="s">
        <v>63</v>
      </c>
      <c r="F34" s="15" t="n">
        <v>1500</v>
      </c>
      <c r="G34" s="15" t="n">
        <v>2200</v>
      </c>
      <c r="H34" s="15" t="n">
        <f aca="false">(F34+G34)/2</f>
        <v>1850</v>
      </c>
      <c r="I34" s="14" t="s">
        <v>64</v>
      </c>
      <c r="J34" s="14" t="s">
        <v>65</v>
      </c>
    </row>
    <row r="35" customFormat="false" ht="15" hidden="false" customHeight="false" outlineLevel="0" collapsed="false">
      <c r="A35" s="10" t="n">
        <v>2025</v>
      </c>
      <c r="B35" s="10" t="s">
        <v>29</v>
      </c>
      <c r="C35" s="10" t="s">
        <v>66</v>
      </c>
      <c r="D35" s="10" t="s">
        <v>18</v>
      </c>
      <c r="E35" s="10" t="s">
        <v>67</v>
      </c>
      <c r="F35" s="11" t="n">
        <v>120</v>
      </c>
      <c r="G35" s="11" t="n">
        <v>250</v>
      </c>
      <c r="H35" s="11" t="n">
        <f aca="false">(F35+G35)/2</f>
        <v>185</v>
      </c>
      <c r="I35" s="10" t="s">
        <v>68</v>
      </c>
      <c r="J35" s="10" t="s">
        <v>42</v>
      </c>
    </row>
    <row r="36" customFormat="false" ht="15" hidden="false" customHeight="false" outlineLevel="0" collapsed="false">
      <c r="A36" s="10" t="n">
        <v>2025</v>
      </c>
      <c r="B36" s="10" t="s">
        <v>29</v>
      </c>
      <c r="C36" s="10" t="s">
        <v>69</v>
      </c>
      <c r="D36" s="10" t="s">
        <v>18</v>
      </c>
      <c r="E36" s="10" t="s">
        <v>34</v>
      </c>
      <c r="F36" s="11" t="n">
        <v>900</v>
      </c>
      <c r="G36" s="11" t="n">
        <v>1170</v>
      </c>
      <c r="H36" s="11" t="n">
        <f aca="false">(F36+G36)/2</f>
        <v>1035</v>
      </c>
      <c r="I36" s="10" t="s">
        <v>70</v>
      </c>
      <c r="J36" s="10" t="s">
        <v>42</v>
      </c>
    </row>
    <row r="37" customFormat="false" ht="15" hidden="false" customHeight="false" outlineLevel="0" collapsed="false">
      <c r="A37" s="10" t="n">
        <v>2025</v>
      </c>
      <c r="B37" s="10" t="s">
        <v>29</v>
      </c>
      <c r="C37" s="10" t="s">
        <v>71</v>
      </c>
      <c r="D37" s="10" t="s">
        <v>18</v>
      </c>
      <c r="E37" s="10" t="s">
        <v>72</v>
      </c>
      <c r="F37" s="11" t="n">
        <v>200</v>
      </c>
      <c r="G37" s="11" t="n">
        <v>400</v>
      </c>
      <c r="H37" s="11" t="n">
        <f aca="false">(F37+G37)/2</f>
        <v>300</v>
      </c>
      <c r="I37" s="10" t="s">
        <v>31</v>
      </c>
      <c r="J37" s="10" t="s">
        <v>73</v>
      </c>
    </row>
    <row r="38" customFormat="false" ht="15" hidden="false" customHeight="false" outlineLevel="0" collapsed="false">
      <c r="A38" s="16" t="n">
        <v>2025</v>
      </c>
      <c r="B38" s="16" t="s">
        <v>74</v>
      </c>
      <c r="C38" s="16" t="s">
        <v>75</v>
      </c>
      <c r="D38" s="16" t="s">
        <v>18</v>
      </c>
      <c r="E38" s="16" t="s">
        <v>76</v>
      </c>
      <c r="F38" s="17" t="n">
        <v>60</v>
      </c>
      <c r="G38" s="17" t="n">
        <v>65</v>
      </c>
      <c r="H38" s="17" t="n">
        <f aca="false">(F38+G38)/2</f>
        <v>62.5</v>
      </c>
      <c r="I38" s="16" t="s">
        <v>77</v>
      </c>
      <c r="J38" s="16" t="s">
        <v>42</v>
      </c>
    </row>
    <row r="39" customFormat="false" ht="15" hidden="false" customHeight="false" outlineLevel="0" collapsed="false">
      <c r="A39" s="16" t="n">
        <v>2025</v>
      </c>
      <c r="B39" s="16" t="s">
        <v>74</v>
      </c>
      <c r="C39" s="16" t="s">
        <v>78</v>
      </c>
      <c r="D39" s="16" t="s">
        <v>18</v>
      </c>
      <c r="E39" s="16" t="s">
        <v>79</v>
      </c>
      <c r="F39" s="17" t="n">
        <v>45</v>
      </c>
      <c r="G39" s="17" t="n">
        <v>50</v>
      </c>
      <c r="H39" s="17" t="n">
        <f aca="false">(F39+G39)/2</f>
        <v>47.5</v>
      </c>
      <c r="I39" s="16" t="s">
        <v>80</v>
      </c>
      <c r="J39" s="16" t="s">
        <v>42</v>
      </c>
    </row>
    <row r="40" customFormat="false" ht="15" hidden="false" customHeight="false" outlineLevel="0" collapsed="false">
      <c r="A40" s="18" t="n">
        <v>2025</v>
      </c>
      <c r="B40" s="18" t="s">
        <v>81</v>
      </c>
      <c r="C40" s="18" t="s">
        <v>82</v>
      </c>
      <c r="D40" s="18" t="s">
        <v>18</v>
      </c>
      <c r="E40" s="18" t="s">
        <v>19</v>
      </c>
      <c r="F40" s="19" t="n">
        <v>40</v>
      </c>
      <c r="G40" s="19" t="n">
        <v>50</v>
      </c>
      <c r="H40" s="19" t="n">
        <f aca="false">(F40+G40)/2</f>
        <v>45</v>
      </c>
      <c r="I40" s="18" t="s">
        <v>83</v>
      </c>
      <c r="J40" s="18" t="s">
        <v>42</v>
      </c>
    </row>
    <row r="41" customFormat="false" ht="15" hidden="false" customHeight="false" outlineLevel="0" collapsed="false">
      <c r="A41" s="18" t="n">
        <v>2025</v>
      </c>
      <c r="B41" s="18" t="s">
        <v>81</v>
      </c>
      <c r="C41" s="18" t="s">
        <v>84</v>
      </c>
      <c r="D41" s="18" t="s">
        <v>18</v>
      </c>
      <c r="E41" s="18" t="s">
        <v>19</v>
      </c>
      <c r="F41" s="19" t="n">
        <v>900</v>
      </c>
      <c r="G41" s="19" t="n">
        <v>1100</v>
      </c>
      <c r="H41" s="19" t="n">
        <f aca="false">(F41+G41)/2</f>
        <v>1000</v>
      </c>
      <c r="I41" s="18" t="s">
        <v>85</v>
      </c>
      <c r="J41" s="18" t="s">
        <v>42</v>
      </c>
    </row>
    <row r="42" customFormat="false" ht="15" hidden="false" customHeight="false" outlineLevel="0" collapsed="false">
      <c r="A42" s="18" t="n">
        <v>2025</v>
      </c>
      <c r="B42" s="18" t="s">
        <v>81</v>
      </c>
      <c r="C42" s="18" t="s">
        <v>86</v>
      </c>
      <c r="D42" s="18" t="s">
        <v>18</v>
      </c>
      <c r="E42" s="18" t="s">
        <v>19</v>
      </c>
      <c r="F42" s="19" t="n">
        <v>40</v>
      </c>
      <c r="G42" s="19" t="n">
        <v>1000</v>
      </c>
      <c r="H42" s="19" t="n">
        <f aca="false">(F42+G42)/2</f>
        <v>520</v>
      </c>
      <c r="I42" s="18" t="s">
        <v>87</v>
      </c>
      <c r="J42" s="18" t="s">
        <v>73</v>
      </c>
    </row>
    <row r="43" customFormat="false" ht="15" hidden="false" customHeight="false" outlineLevel="0" collapsed="false">
      <c r="A43" s="20" t="n">
        <v>2025</v>
      </c>
      <c r="B43" s="20" t="s">
        <v>88</v>
      </c>
      <c r="C43" s="20" t="s">
        <v>89</v>
      </c>
      <c r="D43" s="20" t="s">
        <v>18</v>
      </c>
      <c r="E43" s="20" t="s">
        <v>19</v>
      </c>
      <c r="F43" s="21" t="n">
        <v>200</v>
      </c>
      <c r="G43" s="21" t="n">
        <v>1000</v>
      </c>
      <c r="H43" s="21" t="n">
        <f aca="false">(F43+G43)/2</f>
        <v>600</v>
      </c>
      <c r="I43" s="20" t="s">
        <v>90</v>
      </c>
      <c r="J43" s="20" t="s">
        <v>42</v>
      </c>
    </row>
    <row r="44" customFormat="false" ht="15" hidden="false" customHeight="false" outlineLevel="0" collapsed="false">
      <c r="A44" s="20" t="n">
        <v>2025</v>
      </c>
      <c r="B44" s="20" t="s">
        <v>88</v>
      </c>
      <c r="C44" s="20" t="s">
        <v>91</v>
      </c>
      <c r="D44" s="20" t="s">
        <v>18</v>
      </c>
      <c r="E44" s="20" t="s">
        <v>19</v>
      </c>
      <c r="F44" s="21" t="n">
        <v>1000</v>
      </c>
      <c r="G44" s="21" t="n">
        <v>5000</v>
      </c>
      <c r="H44" s="21" t="n">
        <f aca="false">(F44+G44)/2</f>
        <v>3000</v>
      </c>
      <c r="I44" s="20" t="s">
        <v>92</v>
      </c>
      <c r="J44" s="20" t="s">
        <v>42</v>
      </c>
    </row>
    <row r="45" customFormat="false" ht="15" hidden="false" customHeight="false" outlineLevel="0" collapsed="false">
      <c r="A45" s="20" t="n">
        <v>2025</v>
      </c>
      <c r="B45" s="20" t="s">
        <v>88</v>
      </c>
      <c r="C45" s="20" t="s">
        <v>93</v>
      </c>
      <c r="D45" s="20" t="s">
        <v>18</v>
      </c>
      <c r="E45" s="20" t="s">
        <v>19</v>
      </c>
      <c r="F45" s="21" t="n">
        <v>10000</v>
      </c>
      <c r="G45" s="21" t="n">
        <v>100000</v>
      </c>
      <c r="H45" s="21" t="n">
        <f aca="false">(F45+G45)/2</f>
        <v>55000</v>
      </c>
      <c r="I45" s="20" t="s">
        <v>94</v>
      </c>
      <c r="J45" s="20" t="s">
        <v>42</v>
      </c>
    </row>
    <row r="46" customFormat="false" ht="15" hidden="false" customHeight="false" outlineLevel="0" collapsed="false">
      <c r="A46" s="20" t="n">
        <v>2025</v>
      </c>
      <c r="B46" s="20" t="s">
        <v>88</v>
      </c>
      <c r="C46" s="20" t="s">
        <v>95</v>
      </c>
      <c r="D46" s="20" t="s">
        <v>18</v>
      </c>
      <c r="E46" s="20" t="s">
        <v>19</v>
      </c>
      <c r="F46" s="21" t="n">
        <v>10000</v>
      </c>
      <c r="G46" s="21" t="n">
        <v>200000</v>
      </c>
      <c r="H46" s="21" t="n">
        <f aca="false">(F46+G46)/2</f>
        <v>105000</v>
      </c>
      <c r="I46" s="20" t="s">
        <v>96</v>
      </c>
      <c r="J46" s="20" t="s">
        <v>42</v>
      </c>
    </row>
    <row r="47" customFormat="false" ht="15" hidden="false" customHeight="false" outlineLevel="0" collapsed="false">
      <c r="A47" s="2" t="n">
        <v>2025</v>
      </c>
      <c r="B47" s="2" t="s">
        <v>10</v>
      </c>
      <c r="C47" s="2" t="s">
        <v>97</v>
      </c>
      <c r="D47" s="2" t="s">
        <v>12</v>
      </c>
      <c r="E47" s="2" t="s">
        <v>13</v>
      </c>
      <c r="F47" s="3" t="n">
        <v>29150</v>
      </c>
      <c r="G47" s="3" t="n">
        <v>29150</v>
      </c>
      <c r="H47" s="3" t="n">
        <f aca="false">(F47+G47)/2</f>
        <v>29150</v>
      </c>
      <c r="I47" s="2" t="s">
        <v>98</v>
      </c>
      <c r="J47" s="2" t="s">
        <v>65</v>
      </c>
    </row>
    <row r="48" customFormat="false" ht="15" hidden="false" customHeight="false" outlineLevel="0" collapsed="false">
      <c r="A48" s="2" t="n">
        <v>2025</v>
      </c>
      <c r="B48" s="2" t="s">
        <v>10</v>
      </c>
      <c r="C48" s="2" t="s">
        <v>97</v>
      </c>
      <c r="D48" s="2" t="s">
        <v>28</v>
      </c>
      <c r="E48" s="2" t="s">
        <v>13</v>
      </c>
      <c r="F48" s="3" t="n">
        <v>19000</v>
      </c>
      <c r="G48" s="3" t="n">
        <v>22000</v>
      </c>
      <c r="H48" s="3" t="n">
        <f aca="false">(F48+G48)/2</f>
        <v>20500</v>
      </c>
      <c r="I48" s="2" t="s">
        <v>98</v>
      </c>
      <c r="J48" s="2" t="s">
        <v>65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8"/>
  </cols>
  <sheetData>
    <row r="1" customFormat="false" ht="15" hidden="false" customHeight="false" outlineLevel="0" collapsed="false">
      <c r="A1" s="22" t="s">
        <v>99</v>
      </c>
      <c r="B1" s="22" t="s">
        <v>100</v>
      </c>
      <c r="C1" s="22" t="s">
        <v>101</v>
      </c>
      <c r="D1" s="23" t="s">
        <v>102</v>
      </c>
    </row>
    <row r="2" customFormat="false" ht="15" hidden="false" customHeight="false" outlineLevel="0" collapsed="false">
      <c r="A2" s="0" t="s">
        <v>103</v>
      </c>
      <c r="B2" s="0" t="s">
        <v>104</v>
      </c>
      <c r="C2" s="0" t="s">
        <v>105</v>
      </c>
      <c r="D2" s="0" t="s">
        <v>106</v>
      </c>
    </row>
    <row r="3" customFormat="false" ht="15" hidden="false" customHeight="false" outlineLevel="0" collapsed="false">
      <c r="A3" s="0" t="s">
        <v>107</v>
      </c>
      <c r="B3" s="0" t="s">
        <v>108</v>
      </c>
      <c r="C3" s="0" t="s">
        <v>109</v>
      </c>
      <c r="D3" s="0" t="s">
        <v>110</v>
      </c>
    </row>
    <row r="4" customFormat="false" ht="15" hidden="false" customHeight="false" outlineLevel="0" collapsed="false">
      <c r="A4" s="0" t="s">
        <v>111</v>
      </c>
      <c r="B4" s="0" t="s">
        <v>112</v>
      </c>
      <c r="C4" s="0" t="s">
        <v>113</v>
      </c>
      <c r="D4" s="0" t="s">
        <v>114</v>
      </c>
    </row>
    <row r="5" customFormat="false" ht="15" hidden="false" customHeight="false" outlineLevel="0" collapsed="false">
      <c r="A5" s="0" t="s">
        <v>115</v>
      </c>
      <c r="B5" s="0" t="s">
        <v>116</v>
      </c>
      <c r="C5" s="0" t="s">
        <v>117</v>
      </c>
      <c r="D5" s="0" t="s">
        <v>114</v>
      </c>
    </row>
    <row r="6" customFormat="false" ht="15" hidden="false" customHeight="false" outlineLevel="0" collapsed="false">
      <c r="A6" s="0" t="s">
        <v>118</v>
      </c>
      <c r="B6" s="0" t="s">
        <v>119</v>
      </c>
      <c r="C6" s="0" t="s">
        <v>120</v>
      </c>
      <c r="D6" s="0" t="s">
        <v>114</v>
      </c>
    </row>
    <row r="7" customFormat="false" ht="15" hidden="false" customHeight="false" outlineLevel="0" collapsed="false">
      <c r="A7" s="0" t="s">
        <v>121</v>
      </c>
      <c r="B7" s="0" t="s">
        <v>122</v>
      </c>
      <c r="C7" s="0" t="s">
        <v>123</v>
      </c>
      <c r="D7" s="0" t="s">
        <v>106</v>
      </c>
    </row>
    <row r="8" customFormat="false" ht="15" hidden="false" customHeight="false" outlineLevel="0" collapsed="false">
      <c r="A8" s="0" t="s">
        <v>124</v>
      </c>
      <c r="B8" s="0" t="s">
        <v>125</v>
      </c>
      <c r="C8" s="0" t="s">
        <v>126</v>
      </c>
      <c r="D8" s="0" t="s">
        <v>110</v>
      </c>
    </row>
    <row r="9" customFormat="false" ht="15" hidden="false" customHeight="false" outlineLevel="0" collapsed="false">
      <c r="A9" s="0" t="s">
        <v>127</v>
      </c>
      <c r="B9" s="0" t="s">
        <v>128</v>
      </c>
      <c r="C9" s="0" t="s">
        <v>129</v>
      </c>
      <c r="D9" s="0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7</v>
      </c>
      <c r="D1" s="0" t="s">
        <v>130</v>
      </c>
    </row>
    <row r="2" customFormat="false" ht="15" hidden="false" customHeight="false" outlineLevel="0" collapsed="false">
      <c r="A2" s="0" t="n">
        <v>2020</v>
      </c>
      <c r="B2" s="0" t="s">
        <v>10</v>
      </c>
      <c r="C2" s="24" t="n">
        <v>2985</v>
      </c>
      <c r="D2" s="23" t="s">
        <v>131</v>
      </c>
    </row>
    <row r="3" customFormat="false" ht="15" hidden="false" customHeight="false" outlineLevel="0" collapsed="false">
      <c r="A3" s="0" t="n">
        <v>2021</v>
      </c>
      <c r="B3" s="0" t="s">
        <v>10</v>
      </c>
      <c r="C3" s="24" t="n">
        <v>26030</v>
      </c>
      <c r="D3" s="23" t="s">
        <v>131</v>
      </c>
    </row>
    <row r="4" customFormat="false" ht="15" hidden="false" customHeight="false" outlineLevel="0" collapsed="false">
      <c r="A4" s="0" t="n">
        <v>2022</v>
      </c>
      <c r="B4" s="0" t="s">
        <v>10</v>
      </c>
      <c r="C4" s="24" t="n">
        <v>28010</v>
      </c>
      <c r="D4" s="23" t="s">
        <v>131</v>
      </c>
    </row>
    <row r="5" customFormat="false" ht="15" hidden="false" customHeight="false" outlineLevel="0" collapsed="false">
      <c r="A5" s="0" t="n">
        <v>2023</v>
      </c>
      <c r="B5" s="0" t="s">
        <v>10</v>
      </c>
      <c r="C5" s="24" t="n">
        <v>29150</v>
      </c>
      <c r="D5" s="23" t="s">
        <v>131</v>
      </c>
    </row>
    <row r="6" customFormat="false" ht="15" hidden="false" customHeight="false" outlineLevel="0" collapsed="false">
      <c r="A6" s="0" t="n">
        <v>2025</v>
      </c>
      <c r="B6" s="0" t="s">
        <v>10</v>
      </c>
      <c r="C6" s="24" t="n">
        <v>29150</v>
      </c>
      <c r="D6" s="23" t="s">
        <v>132</v>
      </c>
    </row>
    <row r="7" customFormat="false" ht="15" hidden="false" customHeight="false" outlineLevel="0" collapsed="false">
      <c r="A7" s="0" t="n">
        <v>2020</v>
      </c>
      <c r="B7" s="0" t="s">
        <v>16</v>
      </c>
      <c r="C7" s="24" t="n">
        <v>217</v>
      </c>
      <c r="D7" s="23" t="s">
        <v>133</v>
      </c>
    </row>
    <row r="8" customFormat="false" ht="15" hidden="false" customHeight="false" outlineLevel="0" collapsed="false">
      <c r="A8" s="0" t="n">
        <v>2021</v>
      </c>
      <c r="B8" s="0" t="s">
        <v>16</v>
      </c>
      <c r="C8" s="24" t="n">
        <v>924</v>
      </c>
      <c r="D8" s="23" t="s">
        <v>133</v>
      </c>
    </row>
    <row r="9" customFormat="false" ht="15" hidden="false" customHeight="false" outlineLevel="0" collapsed="false">
      <c r="A9" s="0" t="n">
        <v>2022</v>
      </c>
      <c r="B9" s="0" t="s">
        <v>16</v>
      </c>
      <c r="C9" s="24" t="n">
        <v>548</v>
      </c>
      <c r="D9" s="23" t="s">
        <v>133</v>
      </c>
    </row>
    <row r="10" customFormat="false" ht="15" hidden="false" customHeight="false" outlineLevel="0" collapsed="false">
      <c r="A10" s="0" t="n">
        <v>2023</v>
      </c>
      <c r="B10" s="0" t="s">
        <v>16</v>
      </c>
      <c r="C10" s="24" t="n">
        <v>623</v>
      </c>
      <c r="D10" s="23" t="s">
        <v>133</v>
      </c>
    </row>
    <row r="11" customFormat="false" ht="15" hidden="false" customHeight="false" outlineLevel="0" collapsed="false">
      <c r="A11" s="0" t="n">
        <v>2025</v>
      </c>
      <c r="B11" s="0" t="s">
        <v>16</v>
      </c>
      <c r="C11" s="24" t="n">
        <v>25</v>
      </c>
      <c r="D11" s="23" t="s">
        <v>134</v>
      </c>
    </row>
    <row r="12" customFormat="false" ht="15" hidden="false" customHeight="false" outlineLevel="0" collapsed="false">
      <c r="A12" s="0" t="n">
        <v>2021</v>
      </c>
      <c r="B12" s="0" t="s">
        <v>29</v>
      </c>
      <c r="C12" s="24" t="n">
        <v>3910</v>
      </c>
      <c r="D12" s="23" t="s">
        <v>135</v>
      </c>
    </row>
    <row r="13" customFormat="false" ht="15" hidden="false" customHeight="false" outlineLevel="0" collapsed="false">
      <c r="A13" s="0" t="n">
        <v>2022</v>
      </c>
      <c r="B13" s="0" t="s">
        <v>29</v>
      </c>
      <c r="C13" s="24" t="n">
        <v>2220</v>
      </c>
      <c r="D13" s="23" t="s">
        <v>135</v>
      </c>
    </row>
    <row r="14" customFormat="false" ht="15" hidden="false" customHeight="false" outlineLevel="0" collapsed="false">
      <c r="A14" s="0" t="n">
        <v>2023</v>
      </c>
      <c r="B14" s="0" t="s">
        <v>29</v>
      </c>
      <c r="C14" s="24" t="n">
        <v>14760</v>
      </c>
      <c r="D14" s="23" t="s">
        <v>136</v>
      </c>
    </row>
    <row r="15" customFormat="false" ht="15" hidden="false" customHeight="false" outlineLevel="0" collapsed="false">
      <c r="A15" s="0" t="n">
        <v>2025</v>
      </c>
      <c r="B15" s="0" t="s">
        <v>29</v>
      </c>
      <c r="C15" s="24" t="n">
        <v>1035</v>
      </c>
      <c r="D15" s="23" t="s">
        <v>137</v>
      </c>
    </row>
    <row r="16" customFormat="false" ht="15" hidden="false" customHeight="false" outlineLevel="0" collapsed="false">
      <c r="A16" s="0" t="n">
        <v>2020</v>
      </c>
      <c r="B16" s="0" t="s">
        <v>21</v>
      </c>
      <c r="C16" s="24" t="n">
        <v>1470</v>
      </c>
      <c r="D16" s="23" t="s">
        <v>138</v>
      </c>
    </row>
    <row r="17" customFormat="false" ht="15" hidden="false" customHeight="false" outlineLevel="0" collapsed="false">
      <c r="A17" s="0" t="n">
        <v>2021</v>
      </c>
      <c r="B17" s="0" t="s">
        <v>21</v>
      </c>
      <c r="C17" s="24" t="n">
        <v>2085</v>
      </c>
      <c r="D17" s="23" t="s">
        <v>138</v>
      </c>
    </row>
    <row r="18" customFormat="false" ht="15" hidden="false" customHeight="false" outlineLevel="0" collapsed="false">
      <c r="A18" s="0" t="n">
        <v>2022</v>
      </c>
      <c r="B18" s="0" t="s">
        <v>21</v>
      </c>
      <c r="C18" s="24" t="n">
        <v>1855</v>
      </c>
      <c r="D18" s="23" t="s">
        <v>138</v>
      </c>
    </row>
    <row r="19" customFormat="false" ht="15" hidden="false" customHeight="false" outlineLevel="0" collapsed="false">
      <c r="A19" s="0" t="n">
        <v>2023</v>
      </c>
      <c r="B19" s="0" t="s">
        <v>21</v>
      </c>
      <c r="C19" s="24" t="n">
        <v>1515</v>
      </c>
      <c r="D19" s="23" t="s">
        <v>138</v>
      </c>
    </row>
    <row r="20" customFormat="false" ht="15" hidden="false" customHeight="false" outlineLevel="0" collapsed="false">
      <c r="A20" s="0" t="n">
        <v>2025</v>
      </c>
      <c r="B20" s="0" t="s">
        <v>21</v>
      </c>
      <c r="C20" s="24" t="n">
        <v>45</v>
      </c>
      <c r="D20" s="23" t="s">
        <v>139</v>
      </c>
    </row>
    <row r="21" customFormat="false" ht="15" hidden="false" customHeight="false" outlineLevel="0" collapsed="false">
      <c r="A21" s="0" t="n">
        <v>2021</v>
      </c>
      <c r="B21" s="0" t="s">
        <v>24</v>
      </c>
      <c r="C21" s="24" t="n">
        <v>350</v>
      </c>
      <c r="D21" s="23" t="s">
        <v>26</v>
      </c>
    </row>
    <row r="22" customFormat="false" ht="15" hidden="false" customHeight="false" outlineLevel="0" collapsed="false">
      <c r="A22" s="0" t="n">
        <v>2022</v>
      </c>
      <c r="B22" s="0" t="s">
        <v>24</v>
      </c>
      <c r="C22" s="24" t="n">
        <v>330</v>
      </c>
      <c r="D22" s="23" t="s">
        <v>26</v>
      </c>
    </row>
    <row r="23" customFormat="false" ht="15" hidden="false" customHeight="false" outlineLevel="0" collapsed="false">
      <c r="A23" s="0" t="n">
        <v>2023</v>
      </c>
      <c r="B23" s="0" t="s">
        <v>24</v>
      </c>
      <c r="C23" s="24" t="n">
        <v>330</v>
      </c>
      <c r="D23" s="23" t="s">
        <v>26</v>
      </c>
    </row>
    <row r="24" customFormat="false" ht="15" hidden="false" customHeight="false" outlineLevel="0" collapsed="false">
      <c r="A24" s="0" t="n">
        <v>2025</v>
      </c>
      <c r="B24" s="0" t="s">
        <v>36</v>
      </c>
      <c r="C24" s="24" t="n">
        <v>3</v>
      </c>
      <c r="D24" s="23" t="s">
        <v>140</v>
      </c>
    </row>
    <row r="25" customFormat="false" ht="15" hidden="false" customHeight="false" outlineLevel="0" collapsed="false">
      <c r="A25" s="0" t="n">
        <v>2025</v>
      </c>
      <c r="B25" s="0" t="s">
        <v>88</v>
      </c>
      <c r="C25" s="24" t="n">
        <v>55000</v>
      </c>
      <c r="D25" s="23" t="s">
        <v>141</v>
      </c>
    </row>
    <row r="26" customFormat="false" ht="15" hidden="false" customHeight="false" outlineLevel="0" collapsed="false">
      <c r="A26" s="0" t="n">
        <v>2025</v>
      </c>
      <c r="B26" s="0" t="s">
        <v>81</v>
      </c>
      <c r="C26" s="24" t="n">
        <v>1024</v>
      </c>
      <c r="D26" s="23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5" min="3" style="0" width="12"/>
    <col collapsed="false" customWidth="true" hidden="false" outlineLevel="0" max="6" min="6" style="0" width="8"/>
    <col collapsed="false" customWidth="true" hidden="false" outlineLevel="0" max="7" min="7" style="0" width="34"/>
  </cols>
  <sheetData>
    <row r="1" customFormat="false" ht="15" hidden="false" customHeight="false" outlineLevel="0" collapsed="false">
      <c r="A1" s="22" t="s">
        <v>3</v>
      </c>
      <c r="B1" s="23" t="s">
        <v>143</v>
      </c>
      <c r="C1" s="23" t="s">
        <v>144</v>
      </c>
      <c r="D1" s="23" t="s">
        <v>145</v>
      </c>
      <c r="E1" s="23" t="s">
        <v>146</v>
      </c>
      <c r="F1" s="23" t="s">
        <v>0</v>
      </c>
      <c r="G1" s="23" t="s">
        <v>130</v>
      </c>
    </row>
    <row r="2" customFormat="false" ht="15" hidden="false" customHeight="false" outlineLevel="0" collapsed="false">
      <c r="A2" s="0" t="s">
        <v>18</v>
      </c>
      <c r="B2" s="0" t="s">
        <v>147</v>
      </c>
      <c r="C2" s="24" t="n">
        <v>10</v>
      </c>
      <c r="D2" s="24" t="n">
        <v>40</v>
      </c>
      <c r="E2" s="24" t="n">
        <f aca="false">(C2+D2)/2</f>
        <v>25</v>
      </c>
      <c r="F2" s="0" t="n">
        <v>2025</v>
      </c>
      <c r="G2" s="23" t="s">
        <v>148</v>
      </c>
    </row>
    <row r="3" customFormat="false" ht="15" hidden="false" customHeight="false" outlineLevel="0" collapsed="false">
      <c r="A3" s="0" t="s">
        <v>51</v>
      </c>
      <c r="B3" s="0" t="s">
        <v>147</v>
      </c>
      <c r="C3" s="24" t="n">
        <v>10</v>
      </c>
      <c r="D3" s="24" t="n">
        <v>60</v>
      </c>
      <c r="E3" s="24" t="n">
        <f aca="false">(C3+D3)/2</f>
        <v>35</v>
      </c>
      <c r="F3" s="0" t="n">
        <v>2025</v>
      </c>
      <c r="G3" s="23" t="s">
        <v>52</v>
      </c>
    </row>
    <row r="4" customFormat="false" ht="15" hidden="false" customHeight="false" outlineLevel="0" collapsed="false">
      <c r="A4" s="0" t="s">
        <v>53</v>
      </c>
      <c r="B4" s="0" t="s">
        <v>147</v>
      </c>
      <c r="C4" s="24" t="n">
        <v>10</v>
      </c>
      <c r="D4" s="24" t="n">
        <v>50</v>
      </c>
      <c r="E4" s="24" t="n">
        <f aca="false">(C4+D4)/2</f>
        <v>30</v>
      </c>
      <c r="F4" s="0" t="n">
        <v>2025</v>
      </c>
      <c r="G4" s="23" t="s">
        <v>149</v>
      </c>
    </row>
    <row r="5" customFormat="false" ht="15" hidden="false" customHeight="false" outlineLevel="0" collapsed="false">
      <c r="A5" s="0" t="s">
        <v>55</v>
      </c>
      <c r="B5" s="0" t="s">
        <v>147</v>
      </c>
      <c r="C5" s="24" t="n">
        <v>15</v>
      </c>
      <c r="D5" s="24" t="n">
        <v>50</v>
      </c>
      <c r="E5" s="24" t="n">
        <f aca="false">(C5+D5)/2</f>
        <v>32.5</v>
      </c>
      <c r="F5" s="0" t="n">
        <v>2025</v>
      </c>
      <c r="G5" s="23" t="s">
        <v>56</v>
      </c>
    </row>
    <row r="6" customFormat="false" ht="15" hidden="false" customHeight="false" outlineLevel="0" collapsed="false">
      <c r="A6" s="0" t="s">
        <v>18</v>
      </c>
      <c r="B6" s="0" t="s">
        <v>150</v>
      </c>
      <c r="C6" s="24" t="n">
        <v>110</v>
      </c>
      <c r="D6" s="24" t="n">
        <v>120</v>
      </c>
      <c r="E6" s="24" t="n">
        <f aca="false">(C6+D6)/2</f>
        <v>115</v>
      </c>
      <c r="F6" s="0" t="n">
        <v>2025</v>
      </c>
      <c r="G6" s="23" t="s">
        <v>151</v>
      </c>
    </row>
    <row r="7" customFormat="false" ht="15" hidden="false" customHeight="false" outlineLevel="0" collapsed="false">
      <c r="A7" s="0" t="s">
        <v>18</v>
      </c>
      <c r="B7" s="0" t="s">
        <v>152</v>
      </c>
      <c r="C7" s="24" t="n">
        <v>200</v>
      </c>
      <c r="D7" s="24" t="n">
        <v>500</v>
      </c>
      <c r="E7" s="24" t="n">
        <f aca="false">(C7+D7)/2</f>
        <v>350</v>
      </c>
      <c r="F7" s="0" t="n">
        <v>2025</v>
      </c>
      <c r="G7" s="23" t="s">
        <v>153</v>
      </c>
    </row>
    <row r="8" customFormat="false" ht="15" hidden="false" customHeight="false" outlineLevel="0" collapsed="false">
      <c r="A8" s="0" t="s">
        <v>18</v>
      </c>
      <c r="B8" s="0" t="s">
        <v>154</v>
      </c>
      <c r="C8" s="24" t="n">
        <v>1000</v>
      </c>
      <c r="D8" s="24" t="n">
        <v>3000</v>
      </c>
      <c r="E8" s="24" t="n">
        <f aca="false">(C8+D8)/2</f>
        <v>2000</v>
      </c>
      <c r="F8" s="0" t="n">
        <v>2025</v>
      </c>
      <c r="G8" s="23" t="s">
        <v>155</v>
      </c>
    </row>
    <row r="9" customFormat="false" ht="15" hidden="false" customHeight="false" outlineLevel="0" collapsed="false">
      <c r="A9" s="0" t="s">
        <v>18</v>
      </c>
      <c r="B9" s="0" t="s">
        <v>156</v>
      </c>
      <c r="C9" s="24" t="n">
        <v>120</v>
      </c>
      <c r="D9" s="24" t="n">
        <v>250</v>
      </c>
      <c r="E9" s="24" t="n">
        <f aca="false">(C9+D9)/2</f>
        <v>185</v>
      </c>
      <c r="F9" s="0" t="n">
        <v>2025</v>
      </c>
      <c r="G9" s="23" t="s">
        <v>31</v>
      </c>
    </row>
    <row r="10" customFormat="false" ht="15" hidden="false" customHeight="false" outlineLevel="0" collapsed="false">
      <c r="A10" s="0" t="s">
        <v>18</v>
      </c>
      <c r="B10" s="0" t="s">
        <v>157</v>
      </c>
      <c r="C10" s="24" t="n">
        <v>900</v>
      </c>
      <c r="D10" s="24" t="n">
        <v>1170</v>
      </c>
      <c r="E10" s="24" t="n">
        <f aca="false">(C10+D10)/2</f>
        <v>1035</v>
      </c>
      <c r="F10" s="0" t="n">
        <v>2025</v>
      </c>
      <c r="G10" s="23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0" t="s">
        <v>9</v>
      </c>
      <c r="B1" s="0" t="s">
        <v>159</v>
      </c>
      <c r="C1" s="0" t="s">
        <v>160</v>
      </c>
      <c r="D1" s="0" t="s">
        <v>130</v>
      </c>
    </row>
    <row r="2" customFormat="false" ht="15" hidden="false" customHeight="false" outlineLevel="0" collapsed="false">
      <c r="A2" s="0" t="s">
        <v>161</v>
      </c>
      <c r="B2" s="0" t="s">
        <v>162</v>
      </c>
      <c r="C2" s="0" t="s">
        <v>163</v>
      </c>
      <c r="D2" s="0" t="s">
        <v>164</v>
      </c>
    </row>
    <row r="3" customFormat="false" ht="15" hidden="false" customHeight="false" outlineLevel="0" collapsed="false">
      <c r="A3" s="0" t="s">
        <v>165</v>
      </c>
      <c r="B3" s="0" t="s">
        <v>166</v>
      </c>
      <c r="C3" s="0" t="s">
        <v>167</v>
      </c>
      <c r="D3" s="0" t="s">
        <v>168</v>
      </c>
    </row>
    <row r="4" customFormat="false" ht="15" hidden="false" customHeight="false" outlineLevel="0" collapsed="false">
      <c r="A4" s="0" t="s">
        <v>169</v>
      </c>
      <c r="B4" s="0" t="s">
        <v>170</v>
      </c>
      <c r="C4" s="0" t="s">
        <v>125</v>
      </c>
      <c r="D4" s="0" t="s">
        <v>171</v>
      </c>
    </row>
    <row r="5" customFormat="false" ht="15" hidden="false" customHeight="false" outlineLevel="0" collapsed="false">
      <c r="A5" s="0" t="s">
        <v>172</v>
      </c>
      <c r="B5" s="0" t="s">
        <v>173</v>
      </c>
      <c r="C5" s="0" t="s">
        <v>125</v>
      </c>
      <c r="D5" s="0" t="s">
        <v>171</v>
      </c>
    </row>
    <row r="6" customFormat="false" ht="15" hidden="false" customHeight="false" outlineLevel="0" collapsed="false">
      <c r="A6" s="0" t="s">
        <v>174</v>
      </c>
      <c r="B6" s="0" t="s">
        <v>175</v>
      </c>
      <c r="C6" s="0" t="s">
        <v>176</v>
      </c>
      <c r="D6" s="0" t="s">
        <v>177</v>
      </c>
    </row>
    <row r="7" customFormat="false" ht="15" hidden="false" customHeight="false" outlineLevel="0" collapsed="false">
      <c r="A7" s="0" t="s">
        <v>178</v>
      </c>
      <c r="B7" s="0" t="s">
        <v>179</v>
      </c>
      <c r="C7" s="0" t="s">
        <v>180</v>
      </c>
      <c r="D7" s="0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2026-04-20T19:38:44Z</dcterms:created>
  <dc:creator>openpyxl</dc:creator>
  <dc:description/>
  <dc:language>en-US</dc:language>
  <cp:lastModifiedBy/>
  <dcterms:modified xsi:type="dcterms:W3CDTF">2026-04-20T19:38:44Z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